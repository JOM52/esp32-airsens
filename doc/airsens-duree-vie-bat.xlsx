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f34ccaa6039d8a87/technique/_projets/esp32-micropython/esp32-airsens/doc/"/>
    </mc:Choice>
  </mc:AlternateContent>
  <xr:revisionPtr revIDLastSave="212" documentId="11_AD4D9D64A577C15A4A541867889B64EE5BDEDD89" xr6:coauthVersionLast="47" xr6:coauthVersionMax="47" xr10:uidLastSave="{3D407C98-D0F7-4ADD-BBD9-DEB649CAC0A5}"/>
  <bookViews>
    <workbookView xWindow="-120" yWindow="-120" windowWidth="29040" windowHeight="17520" xr2:uid="{00000000-000D-0000-FFFF-FFFF00000000}"/>
  </bookViews>
  <sheets>
    <sheet name="Estimation duree vie batter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" l="1"/>
  <c r="L6" i="1" s="1"/>
  <c r="N6" i="1" s="1"/>
  <c r="O6" i="1" s="1"/>
  <c r="K6" i="1"/>
  <c r="K4" i="1"/>
  <c r="J4" i="1"/>
  <c r="J3" i="1"/>
  <c r="L3" i="1" s="1"/>
  <c r="N3" i="1" s="1"/>
  <c r="O3" i="1" s="1"/>
  <c r="K3" i="1"/>
  <c r="M6" i="1" l="1"/>
  <c r="P6" i="1" s="1"/>
  <c r="Q6" i="1" s="1"/>
  <c r="R6" i="1" s="1"/>
  <c r="M4" i="1"/>
  <c r="L4" i="1"/>
  <c r="N4" i="1" s="1"/>
  <c r="O4" i="1" s="1"/>
  <c r="P4" i="1" s="1"/>
  <c r="Q4" i="1" s="1"/>
  <c r="M3" i="1"/>
  <c r="P3" i="1" s="1"/>
  <c r="Q3" i="1" s="1"/>
</calcChain>
</file>

<file path=xl/sharedStrings.xml><?xml version="1.0" encoding="utf-8"?>
<sst xmlns="http://schemas.openxmlformats.org/spreadsheetml/2006/main" count="28" uniqueCount="26">
  <si>
    <t>Batterie</t>
  </si>
  <si>
    <t>AA</t>
  </si>
  <si>
    <t>intervalle [s]</t>
  </si>
  <si>
    <t>Type</t>
  </si>
  <si>
    <t>Nbre</t>
  </si>
  <si>
    <t xml:space="preserve">U nom  èv </t>
  </si>
  <si>
    <t>U min"[V]</t>
  </si>
  <si>
    <t>duree mes [s]</t>
  </si>
  <si>
    <t>conso mes[C]</t>
  </si>
  <si>
    <t>conso sleep [A]</t>
  </si>
  <si>
    <t>Mesure</t>
  </si>
  <si>
    <t>Capacité [Ah]</t>
  </si>
  <si>
    <t>mesures / h</t>
  </si>
  <si>
    <t>Système</t>
  </si>
  <si>
    <t>conso mesure [Ah]</t>
  </si>
  <si>
    <t>durée mesure / h [s]</t>
  </si>
  <si>
    <t>conso mesures / h [Ah]</t>
  </si>
  <si>
    <t>durée sleep / h [s]</t>
  </si>
  <si>
    <t>conso sleep / h [Ah]</t>
  </si>
  <si>
    <t>conso totale / h [Ah]</t>
  </si>
  <si>
    <t>durée vie bat [h]</t>
  </si>
  <si>
    <t>Sleep</t>
  </si>
  <si>
    <t>Résultat</t>
  </si>
  <si>
    <t>PPK</t>
  </si>
  <si>
    <t>essai longue durée</t>
  </si>
  <si>
    <t>05,06,2022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</si>
</sst>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4" borderId="7" xfId="0" applyFont="1" applyFill="1" applyBorder="1" applyAlignment="1">
      <alignment horizontal="center" textRotation="90"/>
    </xf>
    <xf numFmtId="0" fontId="0" fillId="4" borderId="8" xfId="0" applyFont="1" applyFill="1" applyBorder="1" applyAlignment="1">
      <alignment horizontal="center" textRotation="90"/>
    </xf>
    <xf numFmtId="0" fontId="0" fillId="4" borderId="9" xfId="0" applyFont="1" applyFill="1" applyBorder="1" applyAlignment="1">
      <alignment horizontal="center" textRotation="90"/>
    </xf>
    <xf numFmtId="0" fontId="0" fillId="7" borderId="7" xfId="0" applyFont="1" applyFill="1" applyBorder="1" applyAlignment="1">
      <alignment horizontal="center" textRotation="90"/>
    </xf>
    <xf numFmtId="0" fontId="0" fillId="7" borderId="10" xfId="0" applyFont="1" applyFill="1" applyBorder="1" applyAlignment="1">
      <alignment horizontal="center" textRotation="90"/>
    </xf>
    <xf numFmtId="0" fontId="0" fillId="5" borderId="7" xfId="0" applyFont="1" applyFill="1" applyBorder="1" applyAlignment="1">
      <alignment horizontal="center" textRotation="90"/>
    </xf>
    <xf numFmtId="0" fontId="0" fillId="5" borderId="9" xfId="0" applyFont="1" applyFill="1" applyBorder="1" applyAlignment="1">
      <alignment horizontal="center" textRotation="90"/>
    </xf>
    <xf numFmtId="0" fontId="0" fillId="3" borderId="7" xfId="0" applyFont="1" applyFill="1" applyBorder="1" applyAlignment="1">
      <alignment horizontal="center" textRotation="90"/>
    </xf>
    <xf numFmtId="0" fontId="0" fillId="3" borderId="8" xfId="0" applyFont="1" applyFill="1" applyBorder="1" applyAlignment="1">
      <alignment horizontal="center" textRotation="90"/>
    </xf>
    <xf numFmtId="0" fontId="0" fillId="3" borderId="9" xfId="0" applyFont="1" applyFill="1" applyBorder="1" applyAlignment="1">
      <alignment horizontal="center" textRotation="90"/>
    </xf>
    <xf numFmtId="0" fontId="0" fillId="8" borderId="7" xfId="0" applyFont="1" applyFill="1" applyBorder="1" applyAlignment="1">
      <alignment horizontal="center" textRotation="90"/>
    </xf>
    <xf numFmtId="0" fontId="0" fillId="8" borderId="9" xfId="0" applyFont="1" applyFill="1" applyBorder="1" applyAlignment="1">
      <alignment horizontal="center" textRotation="90"/>
    </xf>
    <xf numFmtId="0" fontId="0" fillId="6" borderId="7" xfId="0" applyFont="1" applyFill="1" applyBorder="1" applyAlignment="1">
      <alignment horizontal="center" textRotation="90"/>
    </xf>
    <xf numFmtId="0" fontId="0" fillId="6" borderId="9" xfId="0" applyFont="1" applyFill="1" applyBorder="1" applyAlignment="1">
      <alignment horizontal="center" textRotation="90"/>
    </xf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64" fontId="0" fillId="2" borderId="6" xfId="0" applyNumberFormat="1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164" fontId="0" fillId="6" borderId="5" xfId="0" applyNumberFormat="1" applyFont="1" applyFill="1" applyBorder="1" applyAlignment="1">
      <alignment horizontal="center"/>
    </xf>
    <xf numFmtId="2" fontId="0" fillId="6" borderId="6" xfId="0" applyNumberFormat="1" applyFont="1" applyFill="1" applyBorder="1" applyAlignment="1">
      <alignment horizontal="center"/>
    </xf>
    <xf numFmtId="164" fontId="1" fillId="8" borderId="6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11" xfId="0" applyFont="1" applyFill="1" applyBorder="1" applyAlignment="1">
      <alignment horizontal="center"/>
    </xf>
    <xf numFmtId="0" fontId="0" fillId="7" borderId="1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"/>
  <sheetViews>
    <sheetView tabSelected="1" zoomScale="145" zoomScaleNormal="145" workbookViewId="0">
      <selection activeCell="B7" sqref="B7"/>
    </sheetView>
  </sheetViews>
  <sheetFormatPr baseColWidth="10" defaultColWidth="9.140625" defaultRowHeight="15" x14ac:dyDescent="0.25"/>
  <cols>
    <col min="1" max="1" width="3.7109375" style="3" bestFit="1" customWidth="1"/>
    <col min="2" max="2" width="4" style="3" bestFit="1" customWidth="1"/>
    <col min="3" max="3" width="3.7109375" style="3" customWidth="1"/>
    <col min="4" max="4" width="4" style="3" bestFit="1" customWidth="1"/>
    <col min="5" max="5" width="3.7109375" style="3" bestFit="1" customWidth="1"/>
    <col min="6" max="7" width="4.5703125" style="3" customWidth="1"/>
    <col min="8" max="8" width="5" bestFit="1" customWidth="1"/>
    <col min="9" max="9" width="7.28515625" bestFit="1" customWidth="1"/>
    <col min="10" max="10" width="4" style="3" bestFit="1" customWidth="1"/>
    <col min="11" max="11" width="7.5703125" bestFit="1" customWidth="1"/>
    <col min="12" max="12" width="4" style="3" bestFit="1" customWidth="1"/>
    <col min="13" max="13" width="7.28515625" style="3" bestFit="1" customWidth="1"/>
    <col min="14" max="14" width="5" style="3" bestFit="1" customWidth="1"/>
    <col min="15" max="15" width="7.28515625" style="3" bestFit="1" customWidth="1"/>
    <col min="16" max="16" width="7.28515625" style="3" customWidth="1"/>
    <col min="17" max="17" width="8.5703125" style="3" bestFit="1" customWidth="1"/>
    <col min="18" max="18" width="9.140625" style="3"/>
    <col min="20" max="20" width="17.85546875" bestFit="1" customWidth="1"/>
    <col min="21" max="21" width="10.5703125" bestFit="1" customWidth="1"/>
  </cols>
  <sheetData>
    <row r="1" spans="1:21" s="1" customFormat="1" x14ac:dyDescent="0.25">
      <c r="A1" s="35" t="s">
        <v>0</v>
      </c>
      <c r="B1" s="36"/>
      <c r="C1" s="36"/>
      <c r="D1" s="36"/>
      <c r="E1" s="37"/>
      <c r="F1" s="38" t="s">
        <v>13</v>
      </c>
      <c r="G1" s="39"/>
      <c r="H1" s="43" t="s">
        <v>23</v>
      </c>
      <c r="I1" s="44"/>
      <c r="J1" s="40" t="s">
        <v>10</v>
      </c>
      <c r="K1" s="41"/>
      <c r="L1" s="41"/>
      <c r="M1" s="42"/>
      <c r="N1" s="33" t="s">
        <v>21</v>
      </c>
      <c r="O1" s="34"/>
      <c r="P1" s="31" t="s">
        <v>22</v>
      </c>
      <c r="Q1" s="32"/>
      <c r="R1" s="3"/>
    </row>
    <row r="2" spans="1:21" ht="113.25" x14ac:dyDescent="0.25">
      <c r="A2" s="5" t="s">
        <v>3</v>
      </c>
      <c r="B2" s="6" t="s">
        <v>11</v>
      </c>
      <c r="C2" s="6" t="s">
        <v>4</v>
      </c>
      <c r="D2" s="6" t="s">
        <v>5</v>
      </c>
      <c r="E2" s="7" t="s">
        <v>6</v>
      </c>
      <c r="F2" s="8" t="s">
        <v>2</v>
      </c>
      <c r="G2" s="9" t="s">
        <v>7</v>
      </c>
      <c r="H2" s="10" t="s">
        <v>8</v>
      </c>
      <c r="I2" s="11" t="s">
        <v>9</v>
      </c>
      <c r="J2" s="12" t="s">
        <v>12</v>
      </c>
      <c r="K2" s="13" t="s">
        <v>14</v>
      </c>
      <c r="L2" s="13" t="s">
        <v>15</v>
      </c>
      <c r="M2" s="14" t="s">
        <v>16</v>
      </c>
      <c r="N2" s="15" t="s">
        <v>17</v>
      </c>
      <c r="O2" s="16" t="s">
        <v>18</v>
      </c>
      <c r="P2" s="17" t="s">
        <v>19</v>
      </c>
      <c r="Q2" s="18" t="s">
        <v>20</v>
      </c>
      <c r="R2" s="4"/>
      <c r="S2" s="2"/>
    </row>
    <row r="3" spans="1:21" x14ac:dyDescent="0.25">
      <c r="A3" s="19" t="s">
        <v>1</v>
      </c>
      <c r="B3" s="20">
        <v>2.8</v>
      </c>
      <c r="C3" s="20">
        <v>2</v>
      </c>
      <c r="D3" s="20">
        <v>1.5</v>
      </c>
      <c r="E3" s="21">
        <v>1</v>
      </c>
      <c r="F3" s="19">
        <v>20</v>
      </c>
      <c r="G3" s="21">
        <v>5</v>
      </c>
      <c r="H3" s="19">
        <v>0.34</v>
      </c>
      <c r="I3" s="22">
        <v>1E-4</v>
      </c>
      <c r="J3" s="23">
        <f>3600/F3</f>
        <v>180</v>
      </c>
      <c r="K3" s="24">
        <f>H3/3600</f>
        <v>9.4444444444444456E-5</v>
      </c>
      <c r="L3" s="25">
        <f>J3*G3</f>
        <v>900</v>
      </c>
      <c r="M3" s="30">
        <f>K3*J3</f>
        <v>1.7000000000000001E-2</v>
      </c>
      <c r="N3" s="26">
        <f>3600-L3</f>
        <v>2700</v>
      </c>
      <c r="O3" s="29">
        <f>I3*N3/3600</f>
        <v>7.5000000000000007E-5</v>
      </c>
      <c r="P3" s="27">
        <f>M3+O3</f>
        <v>1.7075E-2</v>
      </c>
      <c r="Q3" s="28">
        <f>B3/P3</f>
        <v>163.98243045387994</v>
      </c>
    </row>
    <row r="4" spans="1:21" x14ac:dyDescent="0.25">
      <c r="A4" s="19" t="s">
        <v>1</v>
      </c>
      <c r="B4" s="20">
        <v>2.8</v>
      </c>
      <c r="C4" s="20">
        <v>2</v>
      </c>
      <c r="D4" s="20">
        <v>1.5</v>
      </c>
      <c r="E4" s="21">
        <v>1</v>
      </c>
      <c r="F4" s="19">
        <v>900</v>
      </c>
      <c r="G4" s="21">
        <v>5</v>
      </c>
      <c r="H4" s="19">
        <v>0.23</v>
      </c>
      <c r="I4" s="22">
        <v>6.0000000000000002E-5</v>
      </c>
      <c r="J4" s="23">
        <f>3600/F4</f>
        <v>4</v>
      </c>
      <c r="K4" s="24">
        <f>H4/3600</f>
        <v>6.3888888888888895E-5</v>
      </c>
      <c r="L4" s="25">
        <f>J4*G4</f>
        <v>20</v>
      </c>
      <c r="M4" s="30">
        <f>K4*J4</f>
        <v>2.5555555555555558E-4</v>
      </c>
      <c r="N4" s="26">
        <f>3600-L4</f>
        <v>3580</v>
      </c>
      <c r="O4" s="29">
        <f>I4*N4/3600</f>
        <v>5.9666666666666669E-5</v>
      </c>
      <c r="P4" s="27">
        <f>M4+O4</f>
        <v>3.1522222222222227E-4</v>
      </c>
      <c r="Q4" s="28">
        <f>B4/P4</f>
        <v>8882.6224885442352</v>
      </c>
    </row>
    <row r="6" spans="1:21" x14ac:dyDescent="0.25">
      <c r="A6" s="19" t="s">
        <v>1</v>
      </c>
      <c r="B6" s="20">
        <v>2</v>
      </c>
      <c r="C6" s="20">
        <v>2</v>
      </c>
      <c r="D6" s="20">
        <v>1.5</v>
      </c>
      <c r="E6" s="21">
        <v>1</v>
      </c>
      <c r="F6" s="19">
        <v>19</v>
      </c>
      <c r="G6" s="21">
        <v>4</v>
      </c>
      <c r="H6" s="19">
        <v>0.18</v>
      </c>
      <c r="I6" s="22">
        <v>6.0000000000000002E-5</v>
      </c>
      <c r="J6" s="23">
        <f>3600/F6</f>
        <v>189.47368421052633</v>
      </c>
      <c r="K6" s="24">
        <f>H6/3600</f>
        <v>4.9999999999999996E-5</v>
      </c>
      <c r="L6" s="25">
        <f>J6*G6</f>
        <v>757.89473684210532</v>
      </c>
      <c r="M6" s="30">
        <f>K6*J6</f>
        <v>9.4736842105263164E-3</v>
      </c>
      <c r="N6" s="26">
        <f>3600-L6</f>
        <v>2842.1052631578946</v>
      </c>
      <c r="O6" s="29">
        <f>I6*N6/3600</f>
        <v>4.7368421052631574E-5</v>
      </c>
      <c r="P6" s="27">
        <f>M6+O6</f>
        <v>9.5210526315789475E-3</v>
      </c>
      <c r="Q6" s="28">
        <f>B6/P6</f>
        <v>210.06080707573244</v>
      </c>
      <c r="R6" s="3">
        <f>Q6/24</f>
        <v>8.7525336281555184</v>
      </c>
      <c r="T6" t="s">
        <v>24</v>
      </c>
      <c r="U6" t="s">
        <v>25</v>
      </c>
    </row>
  </sheetData>
  <mergeCells count="6">
    <mergeCell ref="P1:Q1"/>
    <mergeCell ref="N1:O1"/>
    <mergeCell ref="A1:E1"/>
    <mergeCell ref="F1:G1"/>
    <mergeCell ref="J1:M1"/>
    <mergeCell ref="H1:I1"/>
  </mergeCells>
  <pageMargins left="0.7" right="0.7" top="0.75" bottom="0.75" header="0.3" footer="0.3"/>
  <pageSetup paperSize="9" scale="95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 duree vie batterie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cp:lastPrinted>2022-06-01T13:01:18Z</cp:lastPrinted>
  <dcterms:created xsi:type="dcterms:W3CDTF">2015-06-05T18:19:34Z</dcterms:created>
  <dcterms:modified xsi:type="dcterms:W3CDTF">2022-06-06T10:27:53Z</dcterms:modified>
</cp:coreProperties>
</file>