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248" documentId="8_{7513B86E-3BFD-4976-A99D-C34F7B930E16}" xr6:coauthVersionLast="47" xr6:coauthVersionMax="47" xr10:uidLastSave="{FC0E557E-A827-4F85-9679-AC5EFA98EED5}"/>
  <bookViews>
    <workbookView xWindow="28680" yWindow="-120" windowWidth="29040" windowHeight="15720" activeTab="1" xr2:uid="{30343E80-366C-4460-AF75-DAB25F03AC95}"/>
  </bookViews>
  <sheets>
    <sheet name="20220204" sheetId="1" r:id="rId1"/>
    <sheet name="20220207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2" l="1"/>
  <c r="K6" i="2"/>
  <c r="K7" i="2"/>
  <c r="K8" i="2"/>
  <c r="K9" i="2"/>
  <c r="K4" i="2"/>
  <c r="K23" i="1"/>
  <c r="K22" i="1"/>
  <c r="K21" i="1"/>
  <c r="K20" i="1"/>
  <c r="K19" i="1"/>
  <c r="K18" i="1"/>
  <c r="K15" i="1"/>
  <c r="K14" i="1"/>
  <c r="K13" i="1"/>
  <c r="K12" i="1"/>
  <c r="K11" i="1"/>
  <c r="K10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<sst xmlns="http://schemas.openxmlformats.org/spreadsheetml/2006/main" count="248" uniqueCount="59">
  <si>
    <t>uC</t>
  </si>
  <si>
    <t>passes</t>
  </si>
  <si>
    <t>erreurs</t>
  </si>
  <si>
    <t>name</t>
  </si>
  <si>
    <t>WEMOS</t>
  </si>
  <si>
    <t>COM6</t>
  </si>
  <si>
    <t>PC</t>
  </si>
  <si>
    <t>COM9</t>
  </si>
  <si>
    <t>Elite</t>
  </si>
  <si>
    <t>TTGO</t>
  </si>
  <si>
    <t>jmb_09</t>
  </si>
  <si>
    <t>erreurs %</t>
  </si>
  <si>
    <t>COM5</t>
  </si>
  <si>
    <t>jmb_06</t>
  </si>
  <si>
    <t>jmb_05</t>
  </si>
  <si>
    <t>jmb_bu</t>
  </si>
  <si>
    <t>COM16</t>
  </si>
  <si>
    <t>deepsleep = 10ms</t>
  </si>
  <si>
    <t>Spectre</t>
  </si>
  <si>
    <t>jmb_16</t>
  </si>
  <si>
    <t>Wemos</t>
  </si>
  <si>
    <t>central</t>
  </si>
  <si>
    <t>COM</t>
  </si>
  <si>
    <t>sensor</t>
  </si>
  <si>
    <t>BME680</t>
  </si>
  <si>
    <t>BME280</t>
  </si>
  <si>
    <t>NO_SENSOR</t>
  </si>
  <si>
    <t>deepsleep 5 min</t>
  </si>
  <si>
    <t>erreur</t>
  </si>
  <si>
    <t>Write on BLE UART error [Errno 107] ENOTCONN</t>
  </si>
  <si>
    <t>Write on BLE UART error -128</t>
  </si>
  <si>
    <t>COM12</t>
  </si>
  <si>
    <t>jmb_E2</t>
  </si>
  <si>
    <t>jmb_E6</t>
  </si>
  <si>
    <t>deepsleep 2 s</t>
  </si>
  <si>
    <t>uPyton</t>
  </si>
  <si>
    <t>v1.14</t>
  </si>
  <si>
    <t>v1.15</t>
  </si>
  <si>
    <t>v1.17</t>
  </si>
  <si>
    <t>COM10</t>
  </si>
  <si>
    <t>COM17</t>
  </si>
  <si>
    <t>COM18</t>
  </si>
  <si>
    <t>uC type</t>
  </si>
  <si>
    <t>Port</t>
  </si>
  <si>
    <t>uPython</t>
  </si>
  <si>
    <t>Sensor</t>
  </si>
  <si>
    <t>Name</t>
  </si>
  <si>
    <t>jmb_10</t>
  </si>
  <si>
    <t>jmb_17</t>
  </si>
  <si>
    <t>jmb_18</t>
  </si>
  <si>
    <t>Central</t>
  </si>
  <si>
    <t>Passes</t>
  </si>
  <si>
    <t>Erreurs</t>
  </si>
  <si>
    <t>% erreur</t>
  </si>
  <si>
    <t>Erreur description</t>
  </si>
  <si>
    <t>Version</t>
  </si>
  <si>
    <t>USB2</t>
  </si>
  <si>
    <t>USB3</t>
  </si>
  <si>
    <t>Tous sur le même HUB - deepsleep 2s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</si>
</sst>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9" fontId="0" fillId="0" borderId="1" xfId="2" applyNumberFormat="1" applyFont="1" applyBorder="1" applyAlignment="1">
      <alignment horizontal="center"/>
    </xf>
  </cellXfs>
  <cellStyles count="3">
    <cellStyle name="Milliers" xfId="2" builtinId="3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255B-5E32-4FC2-80D5-E6E0217B3433}">
  <dimension ref="A1:L31"/>
  <sheetViews>
    <sheetView workbookViewId="0">
      <selection activeCell="A25" sqref="A25:K31"/>
    </sheetView>
  </sheetViews>
  <sheetFormatPr baseColWidth="10" defaultRowHeight="14.5" x14ac:dyDescent="0.35"/>
  <cols>
    <col min="1" max="1" width="7.6328125" style="1" bestFit="1" customWidth="1"/>
    <col min="2" max="2" width="7.6328125" style="7" customWidth="1"/>
    <col min="3" max="3" width="7.6328125" style="5" customWidth="1"/>
    <col min="4" max="4" width="11" style="1" bestFit="1" customWidth="1"/>
    <col min="5" max="6" width="7" style="1" bestFit="1" customWidth="1"/>
    <col min="7" max="7" width="7.1796875" style="1" bestFit="1" customWidth="1"/>
    <col min="8" max="8" width="7" style="1" bestFit="1" customWidth="1"/>
    <col min="9" max="9" width="6.36328125" style="1" bestFit="1" customWidth="1"/>
    <col min="10" max="10" width="6.90625" style="1" bestFit="1" customWidth="1"/>
    <col min="11" max="11" width="8.81640625" bestFit="1" customWidth="1"/>
    <col min="12" max="12" width="41.6328125" bestFit="1" customWidth="1"/>
  </cols>
  <sheetData>
    <row r="1" spans="1:12" x14ac:dyDescent="0.35">
      <c r="A1" s="1" t="s">
        <v>0</v>
      </c>
      <c r="C1" s="5" t="s">
        <v>35</v>
      </c>
      <c r="D1" s="1" t="s">
        <v>23</v>
      </c>
      <c r="E1" s="1" t="s">
        <v>22</v>
      </c>
      <c r="F1" s="1" t="s">
        <v>6</v>
      </c>
      <c r="G1" s="1" t="s">
        <v>3</v>
      </c>
      <c r="H1" s="1" t="s">
        <v>21</v>
      </c>
      <c r="I1" s="1" t="s">
        <v>1</v>
      </c>
      <c r="J1" s="1" t="s">
        <v>2</v>
      </c>
      <c r="K1" s="1" t="s">
        <v>11</v>
      </c>
      <c r="L1" s="3" t="s">
        <v>28</v>
      </c>
    </row>
    <row r="2" spans="1:12" x14ac:dyDescent="0.35">
      <c r="A2" s="8" t="s">
        <v>17</v>
      </c>
      <c r="B2" s="8"/>
      <c r="C2" s="8"/>
      <c r="D2" s="8"/>
      <c r="E2" s="8"/>
      <c r="F2" s="8"/>
      <c r="G2" s="8"/>
      <c r="H2" s="8"/>
      <c r="I2" s="8"/>
      <c r="J2" s="8"/>
      <c r="K2" s="8"/>
    </row>
    <row r="3" spans="1:12" x14ac:dyDescent="0.35">
      <c r="A3" s="1" t="s">
        <v>4</v>
      </c>
      <c r="D3" s="1" t="s">
        <v>24</v>
      </c>
      <c r="E3" s="1" t="s">
        <v>12</v>
      </c>
      <c r="F3" s="1" t="s">
        <v>18</v>
      </c>
      <c r="G3" s="1" t="s">
        <v>14</v>
      </c>
      <c r="H3" s="1" t="s">
        <v>18</v>
      </c>
      <c r="I3" s="1">
        <v>13986</v>
      </c>
      <c r="J3" s="1">
        <v>1744</v>
      </c>
      <c r="K3" s="2">
        <f>J3/I3</f>
        <v>0.12469612469612469</v>
      </c>
    </row>
    <row r="4" spans="1:12" x14ac:dyDescent="0.35">
      <c r="A4" s="1" t="s">
        <v>4</v>
      </c>
      <c r="D4" s="1" t="s">
        <v>25</v>
      </c>
      <c r="E4" s="1" t="s">
        <v>5</v>
      </c>
      <c r="F4" s="1" t="s">
        <v>18</v>
      </c>
      <c r="G4" s="1" t="s">
        <v>13</v>
      </c>
      <c r="H4" s="1" t="s">
        <v>18</v>
      </c>
      <c r="I4" s="1">
        <v>14059</v>
      </c>
      <c r="J4" s="1">
        <v>1409</v>
      </c>
      <c r="K4" s="2">
        <f>J4/I4</f>
        <v>0.10022049932427626</v>
      </c>
    </row>
    <row r="5" spans="1:12" x14ac:dyDescent="0.35">
      <c r="A5" s="1" t="s">
        <v>4</v>
      </c>
      <c r="D5" s="1" t="s">
        <v>26</v>
      </c>
      <c r="E5" s="1" t="s">
        <v>7</v>
      </c>
      <c r="F5" s="1" t="s">
        <v>18</v>
      </c>
      <c r="G5" s="1" t="s">
        <v>10</v>
      </c>
      <c r="H5" s="1" t="s">
        <v>18</v>
      </c>
      <c r="I5" s="1">
        <v>16165</v>
      </c>
      <c r="J5" s="1">
        <v>1113</v>
      </c>
      <c r="K5" s="2">
        <f>J5/I5</f>
        <v>6.8852459016393447E-2</v>
      </c>
    </row>
    <row r="6" spans="1:12" x14ac:dyDescent="0.35">
      <c r="A6" s="1" t="s">
        <v>9</v>
      </c>
      <c r="D6" s="1" t="s">
        <v>26</v>
      </c>
      <c r="E6" s="1" t="s">
        <v>16</v>
      </c>
      <c r="F6" s="1" t="s">
        <v>18</v>
      </c>
      <c r="G6" s="1" t="s">
        <v>15</v>
      </c>
      <c r="H6" s="1" t="s">
        <v>8</v>
      </c>
      <c r="I6" s="1">
        <v>16036</v>
      </c>
      <c r="J6" s="1">
        <v>558</v>
      </c>
      <c r="K6" s="2">
        <f>J6/I6</f>
        <v>3.4796707408331254E-2</v>
      </c>
    </row>
    <row r="7" spans="1:12" x14ac:dyDescent="0.35">
      <c r="A7" s="1" t="s">
        <v>20</v>
      </c>
      <c r="B7" s="7" t="s">
        <v>42</v>
      </c>
      <c r="D7" s="1" t="s">
        <v>25</v>
      </c>
      <c r="E7" s="1" t="s">
        <v>16</v>
      </c>
      <c r="F7" s="1" t="s">
        <v>8</v>
      </c>
      <c r="G7" s="1" t="s">
        <v>19</v>
      </c>
      <c r="H7" s="1" t="s">
        <v>8</v>
      </c>
      <c r="I7" s="1">
        <v>13082</v>
      </c>
      <c r="J7" s="1">
        <v>312</v>
      </c>
      <c r="K7" s="2">
        <f>J7/I7</f>
        <v>2.3849564286806298E-2</v>
      </c>
    </row>
    <row r="9" spans="1:12" x14ac:dyDescent="0.35">
      <c r="A9" s="9" t="s">
        <v>27</v>
      </c>
      <c r="B9" s="9"/>
      <c r="C9" s="9"/>
      <c r="D9" s="10"/>
      <c r="E9" s="10"/>
      <c r="F9" s="10"/>
      <c r="G9" s="10"/>
      <c r="H9" s="10"/>
      <c r="I9" s="10"/>
      <c r="J9" s="10"/>
      <c r="K9" s="10"/>
      <c r="L9" s="10"/>
    </row>
    <row r="10" spans="1:12" x14ac:dyDescent="0.35">
      <c r="A10" s="1" t="s">
        <v>4</v>
      </c>
      <c r="C10" s="5" t="s">
        <v>36</v>
      </c>
      <c r="D10" s="1" t="s">
        <v>24</v>
      </c>
      <c r="E10" s="1" t="s">
        <v>12</v>
      </c>
      <c r="F10" s="1" t="s">
        <v>18</v>
      </c>
      <c r="G10" s="1" t="s">
        <v>14</v>
      </c>
      <c r="H10" s="1" t="s">
        <v>18</v>
      </c>
      <c r="I10" s="1">
        <v>155</v>
      </c>
      <c r="J10" s="1">
        <v>15</v>
      </c>
      <c r="K10" s="2">
        <f t="shared" ref="K10:K15" si="0">J10/I10</f>
        <v>9.6774193548387094E-2</v>
      </c>
      <c r="L10" t="s">
        <v>29</v>
      </c>
    </row>
    <row r="11" spans="1:12" x14ac:dyDescent="0.35">
      <c r="A11" s="1" t="s">
        <v>4</v>
      </c>
      <c r="C11" s="5" t="s">
        <v>37</v>
      </c>
      <c r="D11" s="1" t="s">
        <v>25</v>
      </c>
      <c r="E11" s="1" t="s">
        <v>5</v>
      </c>
      <c r="F11" s="1" t="s">
        <v>18</v>
      </c>
      <c r="G11" s="1" t="s">
        <v>13</v>
      </c>
      <c r="H11" s="1" t="s">
        <v>18</v>
      </c>
      <c r="I11" s="1">
        <v>192</v>
      </c>
      <c r="J11" s="1">
        <v>51</v>
      </c>
      <c r="K11" s="2">
        <f t="shared" si="0"/>
        <v>0.265625</v>
      </c>
      <c r="L11" t="s">
        <v>30</v>
      </c>
    </row>
    <row r="12" spans="1:12" x14ac:dyDescent="0.35">
      <c r="A12" s="1" t="s">
        <v>4</v>
      </c>
      <c r="C12" s="5" t="s">
        <v>36</v>
      </c>
      <c r="D12" s="1" t="s">
        <v>26</v>
      </c>
      <c r="E12" s="1" t="s">
        <v>7</v>
      </c>
      <c r="F12" s="1" t="s">
        <v>18</v>
      </c>
      <c r="G12" s="1" t="s">
        <v>10</v>
      </c>
      <c r="H12" s="1" t="s">
        <v>18</v>
      </c>
      <c r="I12" s="1">
        <v>143</v>
      </c>
      <c r="J12" s="1">
        <v>3</v>
      </c>
      <c r="K12" s="2">
        <f t="shared" si="0"/>
        <v>2.097902097902098E-2</v>
      </c>
      <c r="L12" t="s">
        <v>29</v>
      </c>
    </row>
    <row r="13" spans="1:12" x14ac:dyDescent="0.35">
      <c r="A13" s="1" t="s">
        <v>9</v>
      </c>
      <c r="C13" s="5" t="s">
        <v>38</v>
      </c>
      <c r="D13" s="1" t="s">
        <v>26</v>
      </c>
      <c r="E13" s="1" t="s">
        <v>16</v>
      </c>
      <c r="F13" s="1" t="s">
        <v>18</v>
      </c>
      <c r="G13" s="1" t="s">
        <v>15</v>
      </c>
      <c r="H13" s="3" t="s">
        <v>18</v>
      </c>
      <c r="I13" s="1">
        <v>145</v>
      </c>
      <c r="J13" s="1">
        <v>5</v>
      </c>
      <c r="K13" s="2">
        <f t="shared" si="0"/>
        <v>3.4482758620689655E-2</v>
      </c>
      <c r="L13" t="s">
        <v>30</v>
      </c>
    </row>
    <row r="14" spans="1:12" x14ac:dyDescent="0.35">
      <c r="A14" s="1" t="s">
        <v>20</v>
      </c>
      <c r="C14" s="5" t="s">
        <v>38</v>
      </c>
      <c r="D14" s="1" t="s">
        <v>25</v>
      </c>
      <c r="E14" s="1" t="s">
        <v>31</v>
      </c>
      <c r="F14" s="1" t="s">
        <v>8</v>
      </c>
      <c r="G14" s="1" t="s">
        <v>32</v>
      </c>
      <c r="H14" s="3" t="s">
        <v>18</v>
      </c>
      <c r="I14" s="1">
        <v>140</v>
      </c>
      <c r="J14" s="1">
        <v>0</v>
      </c>
      <c r="K14" s="2">
        <f t="shared" si="0"/>
        <v>0</v>
      </c>
    </row>
    <row r="15" spans="1:12" x14ac:dyDescent="0.35">
      <c r="A15" s="1" t="s">
        <v>9</v>
      </c>
      <c r="C15" s="5" t="s">
        <v>38</v>
      </c>
      <c r="D15" s="1" t="s">
        <v>26</v>
      </c>
      <c r="E15" s="1" t="s">
        <v>16</v>
      </c>
      <c r="F15" s="1" t="s">
        <v>8</v>
      </c>
      <c r="G15" s="1" t="s">
        <v>33</v>
      </c>
      <c r="H15" s="1" t="s">
        <v>18</v>
      </c>
      <c r="I15" s="1">
        <v>147</v>
      </c>
      <c r="J15" s="1">
        <v>6</v>
      </c>
      <c r="K15" s="2">
        <f t="shared" si="0"/>
        <v>4.0816326530612242E-2</v>
      </c>
      <c r="L15" t="s">
        <v>30</v>
      </c>
    </row>
    <row r="17" spans="1:12" x14ac:dyDescent="0.35">
      <c r="A17" s="9" t="s">
        <v>34</v>
      </c>
      <c r="B17" s="9"/>
      <c r="C17" s="9"/>
      <c r="D17" s="10"/>
      <c r="E17" s="10"/>
      <c r="F17" s="10"/>
      <c r="G17" s="10"/>
      <c r="H17" s="10"/>
      <c r="I17" s="10"/>
      <c r="J17" s="10"/>
      <c r="K17" s="10"/>
      <c r="L17" s="10"/>
    </row>
    <row r="18" spans="1:12" x14ac:dyDescent="0.35">
      <c r="A18" s="4" t="s">
        <v>4</v>
      </c>
      <c r="C18" s="5" t="s">
        <v>36</v>
      </c>
      <c r="D18" s="4" t="s">
        <v>24</v>
      </c>
      <c r="E18" s="4" t="s">
        <v>12</v>
      </c>
      <c r="F18" s="4" t="s">
        <v>18</v>
      </c>
      <c r="G18" s="4" t="s">
        <v>14</v>
      </c>
      <c r="H18" s="4" t="s">
        <v>18</v>
      </c>
      <c r="I18" s="4">
        <v>3370</v>
      </c>
      <c r="J18" s="4">
        <v>185</v>
      </c>
      <c r="K18" s="2">
        <f t="shared" ref="K18:K23" si="1">J18/I18</f>
        <v>5.4896142433234422E-2</v>
      </c>
    </row>
    <row r="19" spans="1:12" x14ac:dyDescent="0.35">
      <c r="A19" s="4" t="s">
        <v>4</v>
      </c>
      <c r="C19" s="5" t="s">
        <v>37</v>
      </c>
      <c r="D19" s="4" t="s">
        <v>25</v>
      </c>
      <c r="E19" s="4" t="s">
        <v>5</v>
      </c>
      <c r="F19" s="4" t="s">
        <v>18</v>
      </c>
      <c r="G19" s="4" t="s">
        <v>13</v>
      </c>
      <c r="H19" s="4" t="s">
        <v>18</v>
      </c>
      <c r="I19" s="4">
        <v>3309</v>
      </c>
      <c r="J19" s="4">
        <v>143</v>
      </c>
      <c r="K19" s="2">
        <f t="shared" si="1"/>
        <v>4.3215472952553645E-2</v>
      </c>
    </row>
    <row r="20" spans="1:12" x14ac:dyDescent="0.35">
      <c r="A20" s="4" t="s">
        <v>4</v>
      </c>
      <c r="C20" s="5" t="s">
        <v>36</v>
      </c>
      <c r="D20" s="4" t="s">
        <v>26</v>
      </c>
      <c r="E20" s="4" t="s">
        <v>7</v>
      </c>
      <c r="F20" s="4" t="s">
        <v>18</v>
      </c>
      <c r="G20" s="4" t="s">
        <v>10</v>
      </c>
      <c r="H20" s="4" t="s">
        <v>18</v>
      </c>
      <c r="I20" s="4">
        <v>3509</v>
      </c>
      <c r="J20" s="4">
        <v>440</v>
      </c>
      <c r="K20" s="2">
        <f t="shared" si="1"/>
        <v>0.12539184952978055</v>
      </c>
    </row>
    <row r="21" spans="1:12" x14ac:dyDescent="0.35">
      <c r="A21" s="4" t="s">
        <v>9</v>
      </c>
      <c r="C21" s="5" t="s">
        <v>38</v>
      </c>
      <c r="D21" s="4" t="s">
        <v>26</v>
      </c>
      <c r="E21" s="4" t="s">
        <v>16</v>
      </c>
      <c r="F21" s="4" t="s">
        <v>18</v>
      </c>
      <c r="G21" s="4" t="s">
        <v>15</v>
      </c>
      <c r="H21" s="4" t="s">
        <v>18</v>
      </c>
      <c r="I21" s="4">
        <v>3343</v>
      </c>
      <c r="J21" s="4">
        <v>446</v>
      </c>
      <c r="K21" s="2">
        <f t="shared" si="1"/>
        <v>0.13341310200418785</v>
      </c>
    </row>
    <row r="22" spans="1:12" x14ac:dyDescent="0.35">
      <c r="A22" s="4" t="s">
        <v>20</v>
      </c>
      <c r="C22" s="5" t="s">
        <v>38</v>
      </c>
      <c r="D22" s="4" t="s">
        <v>25</v>
      </c>
      <c r="E22" s="4" t="s">
        <v>31</v>
      </c>
      <c r="F22" s="4" t="s">
        <v>8</v>
      </c>
      <c r="G22" s="4" t="s">
        <v>32</v>
      </c>
      <c r="H22" s="4" t="s">
        <v>18</v>
      </c>
      <c r="I22" s="4">
        <v>3983</v>
      </c>
      <c r="J22" s="4">
        <v>8</v>
      </c>
      <c r="K22" s="2">
        <f t="shared" si="1"/>
        <v>2.0085362791865428E-3</v>
      </c>
    </row>
    <row r="23" spans="1:12" x14ac:dyDescent="0.35">
      <c r="A23" s="4" t="s">
        <v>9</v>
      </c>
      <c r="C23" s="5" t="s">
        <v>38</v>
      </c>
      <c r="D23" s="4" t="s">
        <v>26</v>
      </c>
      <c r="E23" s="4" t="s">
        <v>16</v>
      </c>
      <c r="F23" s="4" t="s">
        <v>8</v>
      </c>
      <c r="G23" s="4" t="s">
        <v>33</v>
      </c>
      <c r="H23" s="4" t="s">
        <v>18</v>
      </c>
      <c r="I23" s="4">
        <v>3263</v>
      </c>
      <c r="J23" s="4">
        <v>329</v>
      </c>
      <c r="K23" s="2">
        <f t="shared" si="1"/>
        <v>0.10082745939319644</v>
      </c>
    </row>
    <row r="24" spans="1:12" x14ac:dyDescent="0.35">
      <c r="C24" s="7"/>
    </row>
    <row r="25" spans="1:12" x14ac:dyDescent="0.35">
      <c r="A25" s="1" t="s">
        <v>43</v>
      </c>
      <c r="B25" s="7" t="s">
        <v>0</v>
      </c>
      <c r="C25" s="7" t="s">
        <v>44</v>
      </c>
      <c r="D25" s="1" t="s">
        <v>45</v>
      </c>
      <c r="E25" s="1" t="s">
        <v>6</v>
      </c>
      <c r="F25" s="1" t="s">
        <v>46</v>
      </c>
      <c r="G25" s="1" t="s">
        <v>50</v>
      </c>
      <c r="H25" s="1" t="s">
        <v>51</v>
      </c>
      <c r="I25" s="1" t="s">
        <v>52</v>
      </c>
      <c r="J25" s="1" t="s">
        <v>53</v>
      </c>
      <c r="K25" s="7" t="s">
        <v>54</v>
      </c>
    </row>
    <row r="26" spans="1:12" x14ac:dyDescent="0.35">
      <c r="A26" s="1" t="s">
        <v>12</v>
      </c>
      <c r="B26" s="7" t="s">
        <v>4</v>
      </c>
      <c r="C26" s="7" t="s">
        <v>38</v>
      </c>
      <c r="D26" s="7" t="s">
        <v>24</v>
      </c>
      <c r="E26" s="7" t="s">
        <v>18</v>
      </c>
      <c r="F26" s="1" t="s">
        <v>14</v>
      </c>
      <c r="G26" s="7" t="s">
        <v>18</v>
      </c>
    </row>
    <row r="27" spans="1:12" x14ac:dyDescent="0.35">
      <c r="A27" s="1" t="s">
        <v>5</v>
      </c>
      <c r="B27" s="7" t="s">
        <v>4</v>
      </c>
      <c r="C27" s="7" t="s">
        <v>38</v>
      </c>
      <c r="D27" s="7" t="s">
        <v>25</v>
      </c>
      <c r="E27" s="7" t="s">
        <v>18</v>
      </c>
      <c r="F27" s="1" t="s">
        <v>13</v>
      </c>
      <c r="G27" s="7" t="s">
        <v>18</v>
      </c>
    </row>
    <row r="28" spans="1:12" x14ac:dyDescent="0.35">
      <c r="A28" s="1" t="s">
        <v>7</v>
      </c>
      <c r="B28" s="7" t="s">
        <v>4</v>
      </c>
      <c r="C28" s="7" t="s">
        <v>38</v>
      </c>
      <c r="D28" s="7" t="s">
        <v>26</v>
      </c>
      <c r="E28" s="7" t="s">
        <v>18</v>
      </c>
      <c r="F28" s="1" t="s">
        <v>10</v>
      </c>
      <c r="G28" s="7" t="s">
        <v>18</v>
      </c>
    </row>
    <row r="29" spans="1:12" x14ac:dyDescent="0.35">
      <c r="A29" s="1" t="s">
        <v>39</v>
      </c>
      <c r="B29" s="7" t="s">
        <v>9</v>
      </c>
      <c r="C29" s="7" t="s">
        <v>38</v>
      </c>
      <c r="D29" s="7" t="s">
        <v>26</v>
      </c>
      <c r="E29" s="7" t="s">
        <v>18</v>
      </c>
      <c r="F29" s="1" t="s">
        <v>47</v>
      </c>
      <c r="G29" s="7" t="s">
        <v>18</v>
      </c>
    </row>
    <row r="30" spans="1:12" x14ac:dyDescent="0.35">
      <c r="A30" s="1" t="s">
        <v>40</v>
      </c>
      <c r="B30" s="7" t="s">
        <v>4</v>
      </c>
      <c r="C30" s="7" t="s">
        <v>38</v>
      </c>
      <c r="D30" s="7" t="s">
        <v>25</v>
      </c>
      <c r="E30" s="7" t="s">
        <v>18</v>
      </c>
      <c r="F30" s="1" t="s">
        <v>48</v>
      </c>
      <c r="G30" s="7" t="s">
        <v>18</v>
      </c>
    </row>
    <row r="31" spans="1:12" x14ac:dyDescent="0.35">
      <c r="A31" s="1" t="s">
        <v>41</v>
      </c>
      <c r="B31" s="7" t="s">
        <v>4</v>
      </c>
      <c r="C31" s="7" t="s">
        <v>38</v>
      </c>
      <c r="D31" s="7" t="s">
        <v>26</v>
      </c>
      <c r="E31" s="7" t="s">
        <v>18</v>
      </c>
      <c r="F31" s="1" t="s">
        <v>49</v>
      </c>
      <c r="G31" s="7" t="s">
        <v>18</v>
      </c>
    </row>
  </sheetData>
  <mergeCells count="3">
    <mergeCell ref="A2:K2"/>
    <mergeCell ref="A9:L9"/>
    <mergeCell ref="A17:L17"/>
  </mergeCells>
  <phoneticPr fontId="3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F7D9D-49DD-4297-94A5-48F51916B2DB}">
  <dimension ref="A1:L9"/>
  <sheetViews>
    <sheetView tabSelected="1" workbookViewId="0">
      <selection activeCell="K16" sqref="K16"/>
    </sheetView>
  </sheetViews>
  <sheetFormatPr baseColWidth="10" defaultRowHeight="14.5" x14ac:dyDescent="0.35"/>
  <cols>
    <col min="1" max="1" width="7" bestFit="1" customWidth="1"/>
    <col min="2" max="2" width="7" customWidth="1"/>
    <col min="3" max="3" width="7.6328125" bestFit="1" customWidth="1"/>
    <col min="4" max="4" width="8" bestFit="1" customWidth="1"/>
    <col min="5" max="5" width="11.26953125" bestFit="1" customWidth="1"/>
    <col min="6" max="6" width="7.36328125" bestFit="1" customWidth="1"/>
    <col min="7" max="7" width="7.08984375" bestFit="1" customWidth="1"/>
    <col min="8" max="8" width="7.36328125" bestFit="1" customWidth="1"/>
    <col min="9" max="9" width="6.54296875" bestFit="1" customWidth="1"/>
    <col min="10" max="10" width="6.90625" bestFit="1" customWidth="1"/>
    <col min="11" max="11" width="8.7265625" bestFit="1" customWidth="1"/>
    <col min="12" max="12" width="16.1796875" bestFit="1" customWidth="1"/>
  </cols>
  <sheetData>
    <row r="1" spans="1:12" x14ac:dyDescent="0.35">
      <c r="A1" s="14" t="s">
        <v>43</v>
      </c>
      <c r="B1" s="14" t="s">
        <v>55</v>
      </c>
      <c r="C1" s="14" t="s">
        <v>0</v>
      </c>
      <c r="D1" s="14" t="s">
        <v>44</v>
      </c>
      <c r="E1" s="14" t="s">
        <v>45</v>
      </c>
      <c r="F1" s="14" t="s">
        <v>6</v>
      </c>
      <c r="G1" s="14" t="s">
        <v>46</v>
      </c>
      <c r="H1" s="14" t="s">
        <v>50</v>
      </c>
      <c r="I1" s="14" t="s">
        <v>51</v>
      </c>
      <c r="J1" s="14" t="s">
        <v>52</v>
      </c>
      <c r="K1" s="14" t="s">
        <v>53</v>
      </c>
      <c r="L1" s="14" t="s">
        <v>54</v>
      </c>
    </row>
    <row r="2" spans="1:12" x14ac:dyDescent="0.3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35">
      <c r="A3" s="11" t="s">
        <v>58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2" x14ac:dyDescent="0.35">
      <c r="A4" s="12" t="s">
        <v>12</v>
      </c>
      <c r="B4" s="12" t="s">
        <v>56</v>
      </c>
      <c r="C4" s="12" t="s">
        <v>4</v>
      </c>
      <c r="D4" s="12" t="s">
        <v>38</v>
      </c>
      <c r="E4" s="12" t="s">
        <v>24</v>
      </c>
      <c r="F4" s="12" t="s">
        <v>18</v>
      </c>
      <c r="G4" s="12" t="s">
        <v>14</v>
      </c>
      <c r="H4" s="12" t="s">
        <v>18</v>
      </c>
      <c r="I4" s="12">
        <v>264</v>
      </c>
      <c r="J4" s="12">
        <v>14</v>
      </c>
      <c r="K4" s="15">
        <f>IF(I4&lt;&gt;"",J4/I4,"")</f>
        <v>5.3030303030303032E-2</v>
      </c>
      <c r="L4" s="13"/>
    </row>
    <row r="5" spans="1:12" x14ac:dyDescent="0.35">
      <c r="A5" s="12" t="s">
        <v>5</v>
      </c>
      <c r="B5" s="12" t="s">
        <v>57</v>
      </c>
      <c r="C5" s="12" t="s">
        <v>4</v>
      </c>
      <c r="D5" s="12" t="s">
        <v>38</v>
      </c>
      <c r="E5" s="12" t="s">
        <v>25</v>
      </c>
      <c r="F5" s="12" t="s">
        <v>18</v>
      </c>
      <c r="G5" s="12" t="s">
        <v>13</v>
      </c>
      <c r="H5" s="12" t="s">
        <v>18</v>
      </c>
      <c r="I5" s="12">
        <v>55</v>
      </c>
      <c r="J5" s="12">
        <v>2</v>
      </c>
      <c r="K5" s="15">
        <f t="shared" ref="K5:K9" si="0">IF(I5&lt;&gt;"",J5/I5,"")</f>
        <v>3.6363636363636362E-2</v>
      </c>
      <c r="L5" s="13"/>
    </row>
    <row r="6" spans="1:12" x14ac:dyDescent="0.35">
      <c r="A6" s="12" t="s">
        <v>7</v>
      </c>
      <c r="B6" s="12" t="s">
        <v>56</v>
      </c>
      <c r="C6" s="12" t="s">
        <v>4</v>
      </c>
      <c r="D6" s="12" t="s">
        <v>38</v>
      </c>
      <c r="E6" s="12" t="s">
        <v>26</v>
      </c>
      <c r="F6" s="12" t="s">
        <v>18</v>
      </c>
      <c r="G6" s="12" t="s">
        <v>10</v>
      </c>
      <c r="H6" s="12" t="s">
        <v>18</v>
      </c>
      <c r="I6" s="12">
        <v>232</v>
      </c>
      <c r="J6" s="12">
        <v>27</v>
      </c>
      <c r="K6" s="15">
        <f t="shared" si="0"/>
        <v>0.11637931034482758</v>
      </c>
      <c r="L6" s="13"/>
    </row>
    <row r="7" spans="1:12" x14ac:dyDescent="0.35">
      <c r="A7" s="12" t="s">
        <v>39</v>
      </c>
      <c r="B7" s="12" t="s">
        <v>57</v>
      </c>
      <c r="C7" s="12" t="s">
        <v>9</v>
      </c>
      <c r="D7" s="12" t="s">
        <v>38</v>
      </c>
      <c r="E7" s="12" t="s">
        <v>26</v>
      </c>
      <c r="F7" s="12" t="s">
        <v>18</v>
      </c>
      <c r="G7" s="12" t="s">
        <v>47</v>
      </c>
      <c r="H7" s="12" t="s">
        <v>18</v>
      </c>
      <c r="I7" s="12">
        <v>18</v>
      </c>
      <c r="J7" s="12">
        <v>2</v>
      </c>
      <c r="K7" s="15">
        <f t="shared" si="0"/>
        <v>0.1111111111111111</v>
      </c>
      <c r="L7" s="13"/>
    </row>
    <row r="8" spans="1:12" x14ac:dyDescent="0.35">
      <c r="A8" s="12" t="s">
        <v>40</v>
      </c>
      <c r="B8" s="12" t="s">
        <v>56</v>
      </c>
      <c r="C8" s="12" t="s">
        <v>4</v>
      </c>
      <c r="D8" s="12" t="s">
        <v>38</v>
      </c>
      <c r="E8" s="12" t="s">
        <v>25</v>
      </c>
      <c r="F8" s="12" t="s">
        <v>18</v>
      </c>
      <c r="G8" s="12" t="s">
        <v>48</v>
      </c>
      <c r="H8" s="12" t="s">
        <v>18</v>
      </c>
      <c r="I8" s="12">
        <v>219</v>
      </c>
      <c r="J8" s="12">
        <v>34</v>
      </c>
      <c r="K8" s="15">
        <f t="shared" si="0"/>
        <v>0.15525114155251141</v>
      </c>
      <c r="L8" s="13"/>
    </row>
    <row r="9" spans="1:12" x14ac:dyDescent="0.35">
      <c r="A9" s="12" t="s">
        <v>41</v>
      </c>
      <c r="B9" s="12" t="s">
        <v>56</v>
      </c>
      <c r="C9" s="12" t="s">
        <v>4</v>
      </c>
      <c r="D9" s="12" t="s">
        <v>38</v>
      </c>
      <c r="E9" s="12" t="s">
        <v>26</v>
      </c>
      <c r="F9" s="12" t="s">
        <v>18</v>
      </c>
      <c r="G9" s="12" t="s">
        <v>49</v>
      </c>
      <c r="H9" s="12" t="s">
        <v>18</v>
      </c>
      <c r="I9" s="12">
        <v>241</v>
      </c>
      <c r="J9" s="12">
        <v>24</v>
      </c>
      <c r="K9" s="15">
        <f t="shared" si="0"/>
        <v>9.9585062240663894E-2</v>
      </c>
      <c r="L9" s="13"/>
    </row>
  </sheetData>
  <mergeCells count="1">
    <mergeCell ref="A3:L3"/>
  </mergeCells>
  <phoneticPr fontId="3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20220204</vt:lpstr>
      <vt:lpstr>20220207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dcterms:created xsi:type="dcterms:W3CDTF">2022-01-23T10:55:40Z</dcterms:created>
  <dcterms:modified xsi:type="dcterms:W3CDTF">2022-02-07T21:04:33Z</dcterms:modified>
</cp:coreProperties>
</file>