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8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f34ccaa6039d8a87/Bureau/"/>
    </mc:Choice>
  </mc:AlternateContent>
  <xr:revisionPtr revIDLastSave="230" documentId="8_{7513B86E-3BFD-4976-A99D-C34F7B930E16}" xr6:coauthVersionLast="47" xr6:coauthVersionMax="47" xr10:uidLastSave="{39667AD3-B532-43E1-AF79-89619D6DDC84}"/>
  <bookViews>
    <workbookView xWindow="35085" yWindow="1290" windowWidth="19425" windowHeight="10305" activeTab="1" xr2:uid="{30343E80-366C-4460-AF75-DAB25F03AC95}"/>
  </bookViews>
  <sheets>
    <sheet name="20220204" sheetId="1" r:id="rId1"/>
    <sheet name="20220209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3" i="2" l="1"/>
  <c r="J22" i="2"/>
  <c r="J21" i="2"/>
  <c r="J20" i="2"/>
  <c r="J19" i="2"/>
  <c r="J18" i="2"/>
  <c r="J17" i="2"/>
  <c r="J16" i="2"/>
  <c r="J15" i="2"/>
  <c r="J4" i="2"/>
  <c r="J5" i="2"/>
  <c r="J6" i="2"/>
  <c r="J7" i="2"/>
  <c r="J8" i="2"/>
  <c r="J9" i="2"/>
  <c r="J10" i="2"/>
  <c r="J11" i="2"/>
  <c r="J12" i="2"/>
  <c r="J3" i="2"/>
  <c r="I15" i="1"/>
  <c r="I14" i="1"/>
  <c r="I13" i="1"/>
  <c r="I12" i="1"/>
  <c r="I11" i="1"/>
  <c r="I10" i="1"/>
  <c r="I7" i="1"/>
  <c r="I6" i="1"/>
  <c r="I5" i="1"/>
  <c r="I4" i="1"/>
  <c r="I3" i="1"/>
</calcChain>
</file>

<file path=xl/sharedStrings.xml><?xml version="1.0" encoding="utf-8"?>
<sst xmlns="http://schemas.openxmlformats.org/spreadsheetml/2006/main" count="228" uniqueCount="47">
  <si>
    <t>uC</t>
  </si>
  <si>
    <t>passes</t>
  </si>
  <si>
    <t>erreurs</t>
  </si>
  <si>
    <t>name</t>
  </si>
  <si>
    <t>WEMOS</t>
  </si>
  <si>
    <t>COM6</t>
  </si>
  <si>
    <t>PC</t>
  </si>
  <si>
    <t>COM9</t>
  </si>
  <si>
    <t>Elite</t>
  </si>
  <si>
    <t>TTGO</t>
  </si>
  <si>
    <t>jmb_09</t>
  </si>
  <si>
    <t>erreurs %</t>
  </si>
  <si>
    <t>COM5</t>
  </si>
  <si>
    <t>jmb_06</t>
  </si>
  <si>
    <t>jmb_05</t>
  </si>
  <si>
    <t>jmb_bu</t>
  </si>
  <si>
    <t>COM16</t>
  </si>
  <si>
    <t>deepsleep = 10ms</t>
  </si>
  <si>
    <t>Spectre</t>
  </si>
  <si>
    <t>jmb_16</t>
  </si>
  <si>
    <t>Wemos</t>
  </si>
  <si>
    <t>central</t>
  </si>
  <si>
    <t>COM</t>
  </si>
  <si>
    <t>sensor</t>
  </si>
  <si>
    <t>BME680</t>
  </si>
  <si>
    <t>BME280</t>
  </si>
  <si>
    <t>NO_SENSOR</t>
  </si>
  <si>
    <t>deepsleep 5 min</t>
  </si>
  <si>
    <t>COM12</t>
  </si>
  <si>
    <t>jmb_12</t>
  </si>
  <si>
    <t>uP version</t>
  </si>
  <si>
    <t>v1.17</t>
  </si>
  <si>
    <t>Sensor</t>
  </si>
  <si>
    <t>Elite-TTGO</t>
  </si>
  <si>
    <t>jmb_17</t>
  </si>
  <si>
    <t>jmb_18</t>
  </si>
  <si>
    <t>jmb_10</t>
  </si>
  <si>
    <t>jmb_x5</t>
  </si>
  <si>
    <t>-</t>
  </si>
  <si>
    <t>jmb_sa</t>
  </si>
  <si>
    <t xml:space="preserve">no </t>
  </si>
  <si>
    <t>red led</t>
  </si>
  <si>
    <t>yes</t>
  </si>
  <si>
    <t>Alim</t>
  </si>
  <si>
    <t>USB</t>
  </si>
  <si>
    <t>BAT</t>
  </si>
  <si>
    <t>09,02,2022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</si>
</sst>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center"/>
    </xf>
    <xf numFmtId="164" fontId="0" fillId="0" borderId="0" xfId="1" applyNumberFormat="1" applyFont="1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/>
    <xf numFmtId="164" fontId="0" fillId="0" borderId="0" xfId="1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1" applyNumberFormat="1" applyFont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2" fillId="2" borderId="1" xfId="0" applyFont="1" applyFill="1" applyBorder="1" applyAlignment="1">
      <alignment horizontal="center"/>
    </xf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F255B-5E32-4FC2-80D5-E6E0217B3433}">
  <dimension ref="A1:I15"/>
  <sheetViews>
    <sheetView workbookViewId="0">
      <selection sqref="A1:I1"/>
    </sheetView>
  </sheetViews>
  <sheetFormatPr baseColWidth="10" defaultRowHeight="14.5" x14ac:dyDescent="0.35"/>
  <cols>
    <col min="1" max="1" width="7.6328125" style="1" bestFit="1" customWidth="1"/>
    <col min="2" max="2" width="11.26953125" style="1" bestFit="1" customWidth="1"/>
    <col min="3" max="3" width="7" style="1" bestFit="1" customWidth="1"/>
    <col min="4" max="6" width="7.36328125" style="1" bestFit="1" customWidth="1"/>
    <col min="7" max="7" width="6.54296875" style="1" bestFit="1" customWidth="1"/>
    <col min="8" max="8" width="7.08984375" style="1" bestFit="1" customWidth="1"/>
    <col min="9" max="9" width="9" bestFit="1" customWidth="1"/>
  </cols>
  <sheetData>
    <row r="1" spans="1:9" x14ac:dyDescent="0.35">
      <c r="A1" s="1" t="s">
        <v>0</v>
      </c>
      <c r="B1" s="1" t="s">
        <v>23</v>
      </c>
      <c r="C1" s="1" t="s">
        <v>22</v>
      </c>
      <c r="D1" s="1" t="s">
        <v>6</v>
      </c>
      <c r="E1" s="1" t="s">
        <v>3</v>
      </c>
      <c r="F1" s="1" t="s">
        <v>21</v>
      </c>
      <c r="G1" s="1" t="s">
        <v>1</v>
      </c>
      <c r="H1" s="1" t="s">
        <v>2</v>
      </c>
      <c r="I1" s="1" t="s">
        <v>11</v>
      </c>
    </row>
    <row r="2" spans="1:9" x14ac:dyDescent="0.35">
      <c r="A2" s="5" t="s">
        <v>17</v>
      </c>
      <c r="B2" s="5"/>
      <c r="C2" s="5"/>
      <c r="D2" s="5"/>
      <c r="E2" s="5"/>
      <c r="F2" s="5"/>
      <c r="G2" s="5"/>
      <c r="H2" s="5"/>
      <c r="I2" s="5"/>
    </row>
    <row r="3" spans="1:9" x14ac:dyDescent="0.35">
      <c r="A3" s="1" t="s">
        <v>4</v>
      </c>
      <c r="B3" s="1" t="s">
        <v>24</v>
      </c>
      <c r="C3" s="1" t="s">
        <v>12</v>
      </c>
      <c r="D3" s="1" t="s">
        <v>18</v>
      </c>
      <c r="E3" s="1" t="s">
        <v>14</v>
      </c>
      <c r="F3" s="1" t="s">
        <v>18</v>
      </c>
      <c r="G3" s="1">
        <v>13986</v>
      </c>
      <c r="H3" s="1">
        <v>1744</v>
      </c>
      <c r="I3" s="2">
        <f>H3/G3</f>
        <v>0.12469612469612469</v>
      </c>
    </row>
    <row r="4" spans="1:9" x14ac:dyDescent="0.35">
      <c r="A4" s="1" t="s">
        <v>4</v>
      </c>
      <c r="B4" s="1" t="s">
        <v>25</v>
      </c>
      <c r="C4" s="1" t="s">
        <v>5</v>
      </c>
      <c r="D4" s="1" t="s">
        <v>18</v>
      </c>
      <c r="E4" s="1" t="s">
        <v>13</v>
      </c>
      <c r="F4" s="1" t="s">
        <v>18</v>
      </c>
      <c r="G4" s="1">
        <v>14059</v>
      </c>
      <c r="H4" s="1">
        <v>1409</v>
      </c>
      <c r="I4" s="2">
        <f>H4/G4</f>
        <v>0.10022049932427626</v>
      </c>
    </row>
    <row r="5" spans="1:9" x14ac:dyDescent="0.35">
      <c r="A5" s="1" t="s">
        <v>4</v>
      </c>
      <c r="B5" s="1" t="s">
        <v>26</v>
      </c>
      <c r="C5" s="1" t="s">
        <v>7</v>
      </c>
      <c r="D5" s="1" t="s">
        <v>18</v>
      </c>
      <c r="E5" s="1" t="s">
        <v>10</v>
      </c>
      <c r="F5" s="1" t="s">
        <v>18</v>
      </c>
      <c r="G5" s="1">
        <v>16165</v>
      </c>
      <c r="H5" s="1">
        <v>1113</v>
      </c>
      <c r="I5" s="2">
        <f>H5/G5</f>
        <v>6.8852459016393447E-2</v>
      </c>
    </row>
    <row r="6" spans="1:9" x14ac:dyDescent="0.35">
      <c r="A6" s="1" t="s">
        <v>9</v>
      </c>
      <c r="B6" s="1" t="s">
        <v>26</v>
      </c>
      <c r="C6" s="1" t="s">
        <v>16</v>
      </c>
      <c r="D6" s="1" t="s">
        <v>18</v>
      </c>
      <c r="E6" s="1" t="s">
        <v>15</v>
      </c>
      <c r="F6" s="1" t="s">
        <v>8</v>
      </c>
      <c r="G6" s="1">
        <v>16036</v>
      </c>
      <c r="H6" s="1">
        <v>558</v>
      </c>
      <c r="I6" s="2">
        <f>H6/G6</f>
        <v>3.4796707408331254E-2</v>
      </c>
    </row>
    <row r="7" spans="1:9" x14ac:dyDescent="0.35">
      <c r="A7" s="1" t="s">
        <v>20</v>
      </c>
      <c r="B7" s="1" t="s">
        <v>25</v>
      </c>
      <c r="C7" s="1" t="s">
        <v>16</v>
      </c>
      <c r="D7" s="1" t="s">
        <v>8</v>
      </c>
      <c r="E7" s="1" t="s">
        <v>19</v>
      </c>
      <c r="F7" s="1" t="s">
        <v>8</v>
      </c>
      <c r="G7" s="1">
        <v>13082</v>
      </c>
      <c r="H7" s="1">
        <v>312</v>
      </c>
      <c r="I7" s="2">
        <f>H7/G7</f>
        <v>2.3849564286806298E-2</v>
      </c>
    </row>
    <row r="9" spans="1:9" x14ac:dyDescent="0.35">
      <c r="A9" s="6" t="s">
        <v>27</v>
      </c>
      <c r="B9" s="7"/>
      <c r="C9" s="7"/>
      <c r="D9" s="7"/>
      <c r="E9" s="7"/>
      <c r="F9" s="7"/>
      <c r="G9" s="7"/>
      <c r="H9" s="7"/>
      <c r="I9" s="7"/>
    </row>
    <row r="10" spans="1:9" x14ac:dyDescent="0.35">
      <c r="A10" s="1" t="s">
        <v>4</v>
      </c>
      <c r="B10" s="1" t="s">
        <v>24</v>
      </c>
      <c r="C10" s="1" t="s">
        <v>12</v>
      </c>
      <c r="D10" s="1" t="s">
        <v>18</v>
      </c>
      <c r="E10" s="1" t="s">
        <v>14</v>
      </c>
      <c r="F10" s="1" t="s">
        <v>18</v>
      </c>
      <c r="I10" s="2" t="e">
        <f t="shared" ref="I10:I15" si="0">H10/G10</f>
        <v>#DIV/0!</v>
      </c>
    </row>
    <row r="11" spans="1:9" x14ac:dyDescent="0.35">
      <c r="A11" s="1" t="s">
        <v>4</v>
      </c>
      <c r="B11" s="1" t="s">
        <v>25</v>
      </c>
      <c r="C11" s="1" t="s">
        <v>5</v>
      </c>
      <c r="D11" s="1" t="s">
        <v>18</v>
      </c>
      <c r="E11" s="1" t="s">
        <v>13</v>
      </c>
      <c r="F11" s="1" t="s">
        <v>18</v>
      </c>
      <c r="I11" s="2" t="e">
        <f t="shared" si="0"/>
        <v>#DIV/0!</v>
      </c>
    </row>
    <row r="12" spans="1:9" x14ac:dyDescent="0.35">
      <c r="A12" s="1" t="s">
        <v>4</v>
      </c>
      <c r="B12" s="1" t="s">
        <v>26</v>
      </c>
      <c r="C12" s="1" t="s">
        <v>7</v>
      </c>
      <c r="D12" s="1" t="s">
        <v>18</v>
      </c>
      <c r="E12" s="1" t="s">
        <v>10</v>
      </c>
      <c r="F12" s="1" t="s">
        <v>18</v>
      </c>
      <c r="I12" s="2" t="e">
        <f t="shared" si="0"/>
        <v>#DIV/0!</v>
      </c>
    </row>
    <row r="13" spans="1:9" x14ac:dyDescent="0.35">
      <c r="A13" s="1" t="s">
        <v>9</v>
      </c>
      <c r="B13" s="1" t="s">
        <v>26</v>
      </c>
      <c r="C13" s="1" t="s">
        <v>16</v>
      </c>
      <c r="D13" s="1" t="s">
        <v>18</v>
      </c>
      <c r="E13" s="1" t="s">
        <v>15</v>
      </c>
      <c r="F13" s="3" t="s">
        <v>18</v>
      </c>
      <c r="I13" s="2" t="e">
        <f t="shared" si="0"/>
        <v>#DIV/0!</v>
      </c>
    </row>
    <row r="14" spans="1:9" x14ac:dyDescent="0.35">
      <c r="A14" s="1" t="s">
        <v>20</v>
      </c>
      <c r="B14" s="1" t="s">
        <v>25</v>
      </c>
      <c r="C14" s="1" t="s">
        <v>16</v>
      </c>
      <c r="D14" s="1" t="s">
        <v>8</v>
      </c>
      <c r="E14" s="1" t="s">
        <v>19</v>
      </c>
      <c r="F14" s="3" t="s">
        <v>18</v>
      </c>
      <c r="I14" s="2" t="e">
        <f t="shared" si="0"/>
        <v>#DIV/0!</v>
      </c>
    </row>
    <row r="15" spans="1:9" x14ac:dyDescent="0.35">
      <c r="A15" s="1" t="s">
        <v>9</v>
      </c>
      <c r="B15" s="1" t="s">
        <v>26</v>
      </c>
      <c r="C15" s="1" t="s">
        <v>28</v>
      </c>
      <c r="D15" s="1" t="s">
        <v>8</v>
      </c>
      <c r="E15" s="1" t="s">
        <v>29</v>
      </c>
      <c r="F15" s="3" t="s">
        <v>18</v>
      </c>
      <c r="I15" s="2" t="e">
        <f t="shared" si="0"/>
        <v>#DIV/0!</v>
      </c>
    </row>
  </sheetData>
  <mergeCells count="2">
    <mergeCell ref="A2:I2"/>
    <mergeCell ref="A9:I9"/>
  </mergeCells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FE809-EE1C-4FC6-B536-54C00FACC1D5}">
  <dimension ref="A1:L23"/>
  <sheetViews>
    <sheetView tabSelected="1" topLeftCell="A10" workbookViewId="0">
      <selection activeCell="B16" sqref="B16"/>
    </sheetView>
  </sheetViews>
  <sheetFormatPr baseColWidth="10" defaultRowHeight="14.5" x14ac:dyDescent="0.35"/>
  <cols>
    <col min="1" max="1" width="5.1796875" style="4" bestFit="1" customWidth="1"/>
    <col min="2" max="2" width="7.6328125" style="4" bestFit="1" customWidth="1"/>
    <col min="3" max="3" width="9.81640625" style="4" bestFit="1" customWidth="1"/>
    <col min="4" max="4" width="11.26953125" style="4" bestFit="1" customWidth="1"/>
    <col min="5" max="6" width="7.36328125" style="4" bestFit="1" customWidth="1"/>
    <col min="7" max="7" width="9.90625" style="4" bestFit="1" customWidth="1"/>
    <col min="8" max="8" width="6.54296875" style="4" bestFit="1" customWidth="1"/>
    <col min="9" max="9" width="7.08984375" style="4" bestFit="1" customWidth="1"/>
    <col min="10" max="10" width="9" style="4" bestFit="1" customWidth="1"/>
    <col min="11" max="11" width="6.90625" style="4" bestFit="1" customWidth="1"/>
    <col min="12" max="12" width="4.90625" style="4" bestFit="1" customWidth="1"/>
  </cols>
  <sheetData>
    <row r="1" spans="1:12" x14ac:dyDescent="0.35">
      <c r="A1" s="13" t="s">
        <v>46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</row>
    <row r="2" spans="1:12" x14ac:dyDescent="0.35">
      <c r="A2" s="9" t="s">
        <v>22</v>
      </c>
      <c r="B2" s="9" t="s">
        <v>0</v>
      </c>
      <c r="C2" s="9" t="s">
        <v>30</v>
      </c>
      <c r="D2" s="9" t="s">
        <v>32</v>
      </c>
      <c r="E2" s="9" t="s">
        <v>6</v>
      </c>
      <c r="F2" s="9" t="s">
        <v>3</v>
      </c>
      <c r="G2" s="9" t="s">
        <v>21</v>
      </c>
      <c r="H2" s="9" t="s">
        <v>1</v>
      </c>
      <c r="I2" s="9" t="s">
        <v>2</v>
      </c>
      <c r="J2" s="9" t="s">
        <v>11</v>
      </c>
      <c r="K2" s="9" t="s">
        <v>41</v>
      </c>
      <c r="L2" s="9" t="s">
        <v>43</v>
      </c>
    </row>
    <row r="3" spans="1:12" x14ac:dyDescent="0.35">
      <c r="A3" s="10">
        <v>5</v>
      </c>
      <c r="B3" s="10" t="s">
        <v>4</v>
      </c>
      <c r="C3" s="10" t="s">
        <v>31</v>
      </c>
      <c r="D3" s="10" t="s">
        <v>24</v>
      </c>
      <c r="E3" s="10" t="s">
        <v>18</v>
      </c>
      <c r="F3" s="10" t="s">
        <v>14</v>
      </c>
      <c r="G3" s="10" t="s">
        <v>33</v>
      </c>
      <c r="H3" s="10">
        <v>14750</v>
      </c>
      <c r="I3" s="10">
        <v>1994</v>
      </c>
      <c r="J3" s="11">
        <f>IF(H3&lt;&gt;"",I3/H3,"")</f>
        <v>0.13518644067796609</v>
      </c>
      <c r="K3" s="10" t="s">
        <v>42</v>
      </c>
      <c r="L3" s="10" t="s">
        <v>44</v>
      </c>
    </row>
    <row r="4" spans="1:12" x14ac:dyDescent="0.35">
      <c r="A4" s="10">
        <v>6</v>
      </c>
      <c r="B4" s="10"/>
      <c r="C4" s="10"/>
      <c r="D4" s="10"/>
      <c r="E4" s="10"/>
      <c r="F4" s="10"/>
      <c r="G4" s="10"/>
      <c r="H4" s="10"/>
      <c r="I4" s="10"/>
      <c r="J4" s="11" t="str">
        <f t="shared" ref="J4:J16" si="0">IF(H4&lt;&gt;"",I4/H4,"")</f>
        <v/>
      </c>
      <c r="K4" s="10"/>
      <c r="L4" s="10"/>
    </row>
    <row r="5" spans="1:12" x14ac:dyDescent="0.35">
      <c r="A5" s="10">
        <v>9</v>
      </c>
      <c r="B5" s="10" t="s">
        <v>4</v>
      </c>
      <c r="C5" s="10" t="s">
        <v>31</v>
      </c>
      <c r="D5" s="10" t="s">
        <v>26</v>
      </c>
      <c r="E5" s="10" t="s">
        <v>18</v>
      </c>
      <c r="F5" s="10" t="s">
        <v>10</v>
      </c>
      <c r="G5" s="10" t="s">
        <v>33</v>
      </c>
      <c r="H5" s="10">
        <v>9912</v>
      </c>
      <c r="I5" s="10">
        <v>1520</v>
      </c>
      <c r="J5" s="11">
        <f t="shared" si="0"/>
        <v>0.15334947538337368</v>
      </c>
      <c r="K5" s="10" t="s">
        <v>40</v>
      </c>
      <c r="L5" s="10" t="s">
        <v>44</v>
      </c>
    </row>
    <row r="6" spans="1:12" x14ac:dyDescent="0.35">
      <c r="A6" s="10">
        <v>10</v>
      </c>
      <c r="B6" s="10" t="s">
        <v>9</v>
      </c>
      <c r="C6" s="10" t="s">
        <v>31</v>
      </c>
      <c r="D6" s="10" t="s">
        <v>26</v>
      </c>
      <c r="E6" s="10" t="s">
        <v>18</v>
      </c>
      <c r="F6" s="10" t="s">
        <v>36</v>
      </c>
      <c r="G6" s="10" t="s">
        <v>33</v>
      </c>
      <c r="H6" s="10">
        <v>9983</v>
      </c>
      <c r="I6" s="10">
        <v>2117</v>
      </c>
      <c r="J6" s="11">
        <f t="shared" si="0"/>
        <v>0.21206050285485326</v>
      </c>
      <c r="K6" s="10"/>
      <c r="L6" s="10" t="s">
        <v>44</v>
      </c>
    </row>
    <row r="7" spans="1:12" x14ac:dyDescent="0.35">
      <c r="A7" s="10">
        <v>17</v>
      </c>
      <c r="B7" s="10" t="s">
        <v>4</v>
      </c>
      <c r="C7" s="10" t="s">
        <v>31</v>
      </c>
      <c r="D7" s="10" t="s">
        <v>25</v>
      </c>
      <c r="E7" s="10" t="s">
        <v>18</v>
      </c>
      <c r="F7" s="10" t="s">
        <v>34</v>
      </c>
      <c r="G7" s="10" t="s">
        <v>33</v>
      </c>
      <c r="H7" s="10">
        <v>10112</v>
      </c>
      <c r="I7" s="10">
        <v>2142</v>
      </c>
      <c r="J7" s="11">
        <f t="shared" si="0"/>
        <v>0.21182753164556961</v>
      </c>
      <c r="K7" s="10" t="s">
        <v>42</v>
      </c>
      <c r="L7" s="10" t="s">
        <v>44</v>
      </c>
    </row>
    <row r="8" spans="1:12" x14ac:dyDescent="0.35">
      <c r="A8" s="10">
        <v>18</v>
      </c>
      <c r="B8" s="10" t="s">
        <v>4</v>
      </c>
      <c r="C8" s="10" t="s">
        <v>31</v>
      </c>
      <c r="D8" s="10" t="s">
        <v>26</v>
      </c>
      <c r="E8" s="10" t="s">
        <v>18</v>
      </c>
      <c r="F8" s="10" t="s">
        <v>35</v>
      </c>
      <c r="G8" s="10" t="s">
        <v>33</v>
      </c>
      <c r="H8" s="10">
        <v>11075</v>
      </c>
      <c r="I8" s="10">
        <v>2139</v>
      </c>
      <c r="J8" s="11">
        <f t="shared" si="0"/>
        <v>0.19313769751693002</v>
      </c>
      <c r="K8" s="10" t="s">
        <v>42</v>
      </c>
      <c r="L8" s="10" t="s">
        <v>44</v>
      </c>
    </row>
    <row r="9" spans="1:12" x14ac:dyDescent="0.35">
      <c r="A9" s="10">
        <v>17</v>
      </c>
      <c r="B9" s="10" t="s">
        <v>4</v>
      </c>
      <c r="C9" s="10" t="s">
        <v>31</v>
      </c>
      <c r="D9" s="10" t="s">
        <v>25</v>
      </c>
      <c r="E9" s="10" t="s">
        <v>8</v>
      </c>
      <c r="F9" s="10" t="s">
        <v>37</v>
      </c>
      <c r="G9" s="10" t="s">
        <v>33</v>
      </c>
      <c r="H9" s="10">
        <v>8120</v>
      </c>
      <c r="I9" s="10">
        <v>797</v>
      </c>
      <c r="J9" s="11">
        <f t="shared" si="0"/>
        <v>9.8152709359605905E-2</v>
      </c>
      <c r="K9" s="10" t="s">
        <v>42</v>
      </c>
      <c r="L9" s="10" t="s">
        <v>44</v>
      </c>
    </row>
    <row r="10" spans="1:12" x14ac:dyDescent="0.35">
      <c r="A10" s="10">
        <v>15</v>
      </c>
      <c r="B10" s="10" t="s">
        <v>4</v>
      </c>
      <c r="C10" s="10" t="s">
        <v>31</v>
      </c>
      <c r="D10" s="10" t="s">
        <v>25</v>
      </c>
      <c r="E10" s="12" t="s">
        <v>38</v>
      </c>
      <c r="F10" s="10" t="s">
        <v>39</v>
      </c>
      <c r="G10" s="10" t="s">
        <v>33</v>
      </c>
      <c r="H10" s="10">
        <v>9959</v>
      </c>
      <c r="I10" s="10">
        <v>3290</v>
      </c>
      <c r="J10" s="11">
        <f t="shared" si="0"/>
        <v>0.33035445325835927</v>
      </c>
      <c r="K10" s="10" t="s">
        <v>40</v>
      </c>
      <c r="L10" s="10" t="s">
        <v>45</v>
      </c>
    </row>
    <row r="11" spans="1:12" x14ac:dyDescent="0.35">
      <c r="A11" s="10">
        <v>17</v>
      </c>
      <c r="B11" s="10" t="s">
        <v>4</v>
      </c>
      <c r="C11" s="10" t="s">
        <v>31</v>
      </c>
      <c r="D11" s="10" t="s">
        <v>25</v>
      </c>
      <c r="E11" s="12" t="s">
        <v>38</v>
      </c>
      <c r="F11" s="10" t="s">
        <v>15</v>
      </c>
      <c r="G11" s="10" t="s">
        <v>33</v>
      </c>
      <c r="H11" s="10">
        <v>8952</v>
      </c>
      <c r="I11" s="10">
        <v>1910</v>
      </c>
      <c r="J11" s="11">
        <f t="shared" si="0"/>
        <v>0.21336014298480788</v>
      </c>
      <c r="K11" s="10" t="s">
        <v>42</v>
      </c>
      <c r="L11" s="10" t="s">
        <v>45</v>
      </c>
    </row>
    <row r="12" spans="1:12" x14ac:dyDescent="0.35">
      <c r="J12" s="8" t="str">
        <f t="shared" si="0"/>
        <v/>
      </c>
    </row>
    <row r="13" spans="1:12" x14ac:dyDescent="0.35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</row>
    <row r="14" spans="1:12" x14ac:dyDescent="0.35">
      <c r="A14" s="9" t="s">
        <v>22</v>
      </c>
      <c r="B14" s="9" t="s">
        <v>0</v>
      </c>
      <c r="C14" s="9" t="s">
        <v>30</v>
      </c>
      <c r="D14" s="9" t="s">
        <v>32</v>
      </c>
      <c r="E14" s="9" t="s">
        <v>6</v>
      </c>
      <c r="F14" s="9" t="s">
        <v>3</v>
      </c>
      <c r="G14" s="9" t="s">
        <v>21</v>
      </c>
      <c r="H14" s="9" t="s">
        <v>1</v>
      </c>
      <c r="I14" s="9" t="s">
        <v>2</v>
      </c>
      <c r="J14" s="9" t="s">
        <v>11</v>
      </c>
      <c r="K14" s="9" t="s">
        <v>41</v>
      </c>
      <c r="L14" s="9" t="s">
        <v>43</v>
      </c>
    </row>
    <row r="15" spans="1:12" x14ac:dyDescent="0.35">
      <c r="A15" s="10">
        <v>5</v>
      </c>
      <c r="B15" s="10" t="s">
        <v>4</v>
      </c>
      <c r="C15" s="10" t="s">
        <v>31</v>
      </c>
      <c r="D15" s="10" t="s">
        <v>24</v>
      </c>
      <c r="E15" s="10" t="s">
        <v>18</v>
      </c>
      <c r="F15" s="10" t="s">
        <v>14</v>
      </c>
      <c r="G15" s="10" t="s">
        <v>33</v>
      </c>
      <c r="H15" s="10"/>
      <c r="I15" s="10"/>
      <c r="J15" s="11" t="str">
        <f>IF(H15&lt;&gt;"",I15/H15,"")</f>
        <v/>
      </c>
      <c r="K15" s="10" t="s">
        <v>42</v>
      </c>
      <c r="L15" s="10" t="s">
        <v>44</v>
      </c>
    </row>
    <row r="16" spans="1:12" x14ac:dyDescent="0.35">
      <c r="A16" s="10">
        <v>6</v>
      </c>
      <c r="B16" s="10"/>
      <c r="C16" s="10"/>
      <c r="D16" s="10"/>
      <c r="E16" s="10"/>
      <c r="F16" s="10"/>
      <c r="G16" s="10"/>
      <c r="H16" s="10"/>
      <c r="I16" s="10"/>
      <c r="J16" s="11" t="str">
        <f t="shared" ref="J16:J23" si="1">IF(H16&lt;&gt;"",I16/H16,"")</f>
        <v/>
      </c>
      <c r="K16" s="10"/>
      <c r="L16" s="10"/>
    </row>
    <row r="17" spans="1:12" x14ac:dyDescent="0.35">
      <c r="A17" s="10">
        <v>9</v>
      </c>
      <c r="B17" s="10" t="s">
        <v>4</v>
      </c>
      <c r="C17" s="10" t="s">
        <v>31</v>
      </c>
      <c r="D17" s="10" t="s">
        <v>26</v>
      </c>
      <c r="E17" s="10" t="s">
        <v>18</v>
      </c>
      <c r="F17" s="10" t="s">
        <v>10</v>
      </c>
      <c r="G17" s="10" t="s">
        <v>33</v>
      </c>
      <c r="H17" s="10"/>
      <c r="I17" s="10"/>
      <c r="J17" s="11" t="str">
        <f t="shared" si="1"/>
        <v/>
      </c>
      <c r="K17" s="10" t="s">
        <v>40</v>
      </c>
      <c r="L17" s="10" t="s">
        <v>44</v>
      </c>
    </row>
    <row r="18" spans="1:12" x14ac:dyDescent="0.35">
      <c r="A18" s="10">
        <v>10</v>
      </c>
      <c r="B18" s="10" t="s">
        <v>9</v>
      </c>
      <c r="C18" s="10" t="s">
        <v>31</v>
      </c>
      <c r="D18" s="10" t="s">
        <v>26</v>
      </c>
      <c r="E18" s="10" t="s">
        <v>18</v>
      </c>
      <c r="F18" s="10" t="s">
        <v>36</v>
      </c>
      <c r="G18" s="10" t="s">
        <v>33</v>
      </c>
      <c r="H18" s="10"/>
      <c r="I18" s="10"/>
      <c r="J18" s="11" t="str">
        <f t="shared" si="1"/>
        <v/>
      </c>
      <c r="K18" s="10"/>
      <c r="L18" s="10" t="s">
        <v>44</v>
      </c>
    </row>
    <row r="19" spans="1:12" x14ac:dyDescent="0.35">
      <c r="A19" s="10">
        <v>17</v>
      </c>
      <c r="B19" s="10" t="s">
        <v>4</v>
      </c>
      <c r="C19" s="10" t="s">
        <v>31</v>
      </c>
      <c r="D19" s="10" t="s">
        <v>25</v>
      </c>
      <c r="E19" s="10" t="s">
        <v>18</v>
      </c>
      <c r="F19" s="10" t="s">
        <v>34</v>
      </c>
      <c r="G19" s="10" t="s">
        <v>33</v>
      </c>
      <c r="H19" s="10"/>
      <c r="I19" s="10"/>
      <c r="J19" s="11" t="str">
        <f t="shared" si="1"/>
        <v/>
      </c>
      <c r="K19" s="10" t="s">
        <v>42</v>
      </c>
      <c r="L19" s="10" t="s">
        <v>44</v>
      </c>
    </row>
    <row r="20" spans="1:12" x14ac:dyDescent="0.35">
      <c r="A20" s="10">
        <v>18</v>
      </c>
      <c r="B20" s="10" t="s">
        <v>4</v>
      </c>
      <c r="C20" s="10" t="s">
        <v>31</v>
      </c>
      <c r="D20" s="10" t="s">
        <v>26</v>
      </c>
      <c r="E20" s="10" t="s">
        <v>18</v>
      </c>
      <c r="F20" s="10" t="s">
        <v>35</v>
      </c>
      <c r="G20" s="10" t="s">
        <v>33</v>
      </c>
      <c r="H20" s="10"/>
      <c r="I20" s="10"/>
      <c r="J20" s="11" t="str">
        <f t="shared" si="1"/>
        <v/>
      </c>
      <c r="K20" s="10" t="s">
        <v>42</v>
      </c>
      <c r="L20" s="10" t="s">
        <v>44</v>
      </c>
    </row>
    <row r="21" spans="1:12" x14ac:dyDescent="0.35">
      <c r="A21" s="10">
        <v>17</v>
      </c>
      <c r="B21" s="10" t="s">
        <v>4</v>
      </c>
      <c r="C21" s="10" t="s">
        <v>31</v>
      </c>
      <c r="D21" s="10" t="s">
        <v>25</v>
      </c>
      <c r="E21" s="10" t="s">
        <v>8</v>
      </c>
      <c r="F21" s="10" t="s">
        <v>37</v>
      </c>
      <c r="G21" s="10" t="s">
        <v>33</v>
      </c>
      <c r="H21" s="10"/>
      <c r="I21" s="10"/>
      <c r="J21" s="11" t="str">
        <f t="shared" si="1"/>
        <v/>
      </c>
      <c r="K21" s="10" t="s">
        <v>42</v>
      </c>
      <c r="L21" s="10" t="s">
        <v>44</v>
      </c>
    </row>
    <row r="22" spans="1:12" x14ac:dyDescent="0.35">
      <c r="A22" s="10">
        <v>15</v>
      </c>
      <c r="B22" s="10" t="s">
        <v>4</v>
      </c>
      <c r="C22" s="10" t="s">
        <v>31</v>
      </c>
      <c r="D22" s="10" t="s">
        <v>25</v>
      </c>
      <c r="E22" s="12" t="s">
        <v>38</v>
      </c>
      <c r="F22" s="10" t="s">
        <v>39</v>
      </c>
      <c r="G22" s="10" t="s">
        <v>33</v>
      </c>
      <c r="H22" s="10"/>
      <c r="I22" s="10"/>
      <c r="J22" s="11" t="str">
        <f t="shared" si="1"/>
        <v/>
      </c>
      <c r="K22" s="10" t="s">
        <v>40</v>
      </c>
      <c r="L22" s="10" t="s">
        <v>45</v>
      </c>
    </row>
    <row r="23" spans="1:12" x14ac:dyDescent="0.35">
      <c r="A23" s="10">
        <v>17</v>
      </c>
      <c r="B23" s="10" t="s">
        <v>4</v>
      </c>
      <c r="C23" s="10" t="s">
        <v>31</v>
      </c>
      <c r="D23" s="10" t="s">
        <v>25</v>
      </c>
      <c r="E23" s="12" t="s">
        <v>38</v>
      </c>
      <c r="F23" s="10" t="s">
        <v>15</v>
      </c>
      <c r="G23" s="10" t="s">
        <v>33</v>
      </c>
      <c r="H23" s="10"/>
      <c r="I23" s="10"/>
      <c r="J23" s="11" t="str">
        <f t="shared" si="1"/>
        <v/>
      </c>
      <c r="K23" s="10" t="s">
        <v>42</v>
      </c>
      <c r="L23" s="10" t="s">
        <v>45</v>
      </c>
    </row>
  </sheetData>
  <mergeCells count="2">
    <mergeCell ref="A1:L1"/>
    <mergeCell ref="A13:L13"/>
  </mergeCells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20220204</vt:lpstr>
      <vt:lpstr>20220209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Metrailler</dc:creator>
  <cp:lastModifiedBy>Joseph Metrailler</cp:lastModifiedBy>
  <dcterms:created xsi:type="dcterms:W3CDTF">2022-01-23T10:55:40Z</dcterms:created>
  <dcterms:modified xsi:type="dcterms:W3CDTF">2022-02-09T20:50:36Z</dcterms:modified>
</cp:coreProperties>
</file>